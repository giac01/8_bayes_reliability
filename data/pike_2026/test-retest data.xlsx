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2344/Library/CloudStorage/GoogleDrive-alex.pike@york.ac.uk/My Drive/Papers/Assumptions paper/open_data_and_code/"/>
    </mc:Choice>
  </mc:AlternateContent>
  <xr:revisionPtr revIDLastSave="0" documentId="13_ncr:1_{D901783F-F0B0-174A-8D3E-6F79DA41009B}" xr6:coauthVersionLast="47" xr6:coauthVersionMax="47" xr10:uidLastSave="{00000000-0000-0000-0000-000000000000}"/>
  <bookViews>
    <workbookView xWindow="300" yWindow="800" windowWidth="28040" windowHeight="16380" xr2:uid="{2AB83B7B-BB25-B943-BD39-4716A4545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K26" i="1"/>
  <c r="G27" i="1"/>
  <c r="K27" i="1"/>
  <c r="G28" i="1"/>
  <c r="K28" i="1"/>
  <c r="G29" i="1"/>
  <c r="K29" i="1"/>
  <c r="C29" i="1"/>
  <c r="C28" i="1"/>
  <c r="C26" i="1"/>
  <c r="C27" i="1"/>
  <c r="K23" i="1"/>
  <c r="K24" i="1"/>
  <c r="G24" i="1"/>
  <c r="G23" i="1"/>
  <c r="C24" i="1"/>
  <c r="C23" i="1"/>
</calcChain>
</file>

<file path=xl/sharedStrings.xml><?xml version="1.0" encoding="utf-8"?>
<sst xmlns="http://schemas.openxmlformats.org/spreadsheetml/2006/main" count="55" uniqueCount="34">
  <si>
    <t>Test-retest reliability</t>
  </si>
  <si>
    <t>Task</t>
  </si>
  <si>
    <t>Parameters</t>
  </si>
  <si>
    <t>ICC(C,1)</t>
  </si>
  <si>
    <t>ICC(A,1)</t>
  </si>
  <si>
    <t>Joint model</t>
  </si>
  <si>
    <t>explore</t>
  </si>
  <si>
    <t>Relative uncertainty</t>
  </si>
  <si>
    <t>Total uncertainty</t>
  </si>
  <si>
    <t>reward</t>
  </si>
  <si>
    <t>Reward sensitivity</t>
  </si>
  <si>
    <t>Instruction sensitivity</t>
  </si>
  <si>
    <t>Initial value</t>
  </si>
  <si>
    <t>Learning rate</t>
  </si>
  <si>
    <t>effort</t>
  </si>
  <si>
    <t>Effort sensitivity</t>
  </si>
  <si>
    <t>Intercept</t>
  </si>
  <si>
    <t>gamble</t>
  </si>
  <si>
    <t>Inverse temperature</t>
  </si>
  <si>
    <t>Loss aversion</t>
  </si>
  <si>
    <t>Risk aversion loss</t>
  </si>
  <si>
    <t>Risk aversion gain</t>
  </si>
  <si>
    <t>bandit</t>
  </si>
  <si>
    <t>LR unchosen -EV</t>
  </si>
  <si>
    <t>LR chosen -EV</t>
  </si>
  <si>
    <t>LR unchosen +EV</t>
  </si>
  <si>
    <t>LR chosen +EV</t>
  </si>
  <si>
    <t>Lower</t>
  </si>
  <si>
    <t>Upper</t>
  </si>
  <si>
    <t>Estimate</t>
  </si>
  <si>
    <t>Poor</t>
  </si>
  <si>
    <t>Fair</t>
  </si>
  <si>
    <t>Good</t>
  </si>
  <si>
    <t>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</si>
</sst>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3.95"/>
      <color rgb="FF00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3FBD3-2B0F-3344-B188-E8DF6DC8ADF7}">
  <dimension ref="A1:M29"/>
  <sheetViews>
    <sheetView tabSelected="1" workbookViewId="0">
      <selection activeCell="M28" sqref="M28"/>
    </sheetView>
  </sheetViews>
  <sheetFormatPr baseColWidth="10" defaultRowHeight="16" x14ac:dyDescent="0.2"/>
  <cols>
    <col min="3" max="3" width="10.83203125" customWidth="1"/>
  </cols>
  <sheetData>
    <row r="1" spans="1:13" ht="19" x14ac:dyDescent="0.25">
      <c r="A1" s="1" t="s">
        <v>0</v>
      </c>
    </row>
    <row r="2" spans="1:13" ht="19" x14ac:dyDescent="0.25">
      <c r="A2" s="1"/>
      <c r="C2" s="2" t="s">
        <v>3</v>
      </c>
      <c r="G2" s="2" t="s">
        <v>4</v>
      </c>
      <c r="K2" s="4" t="s">
        <v>5</v>
      </c>
    </row>
    <row r="3" spans="1:13" x14ac:dyDescent="0.2">
      <c r="A3" s="2" t="s">
        <v>1</v>
      </c>
      <c r="B3" s="2" t="s">
        <v>2</v>
      </c>
      <c r="C3" s="4" t="s">
        <v>29</v>
      </c>
      <c r="D3" s="4" t="s">
        <v>27</v>
      </c>
      <c r="E3" s="4" t="s">
        <v>28</v>
      </c>
      <c r="F3" s="4"/>
      <c r="G3" s="4" t="s">
        <v>29</v>
      </c>
      <c r="H3" s="2" t="s">
        <v>27</v>
      </c>
      <c r="I3" s="4" t="s">
        <v>28</v>
      </c>
      <c r="J3" s="4"/>
      <c r="K3" s="2" t="s">
        <v>29</v>
      </c>
      <c r="L3" s="2" t="s">
        <v>27</v>
      </c>
      <c r="M3" s="2" t="s">
        <v>28</v>
      </c>
    </row>
    <row r="4" spans="1:13" x14ac:dyDescent="0.2">
      <c r="A4" s="3" t="s">
        <v>22</v>
      </c>
      <c r="B4" s="3" t="s">
        <v>18</v>
      </c>
      <c r="C4" s="3">
        <v>0.36</v>
      </c>
      <c r="D4">
        <v>0.2</v>
      </c>
      <c r="E4">
        <v>0.51</v>
      </c>
      <c r="G4" s="3">
        <v>0.36</v>
      </c>
      <c r="H4" s="3">
        <v>0.2</v>
      </c>
      <c r="I4">
        <v>0.51</v>
      </c>
      <c r="K4" s="3">
        <v>0.66</v>
      </c>
      <c r="L4">
        <v>0.52</v>
      </c>
      <c r="M4">
        <v>0.78</v>
      </c>
    </row>
    <row r="5" spans="1:13" x14ac:dyDescent="0.2">
      <c r="A5" s="3" t="s">
        <v>22</v>
      </c>
      <c r="B5" s="3" t="s">
        <v>23</v>
      </c>
      <c r="C5" s="3">
        <v>0.43</v>
      </c>
      <c r="D5">
        <v>0.26</v>
      </c>
      <c r="E5">
        <v>0.56000000000000005</v>
      </c>
      <c r="G5" s="3">
        <v>0.43</v>
      </c>
      <c r="H5" s="3">
        <v>0.27</v>
      </c>
      <c r="I5">
        <v>0.56999999999999995</v>
      </c>
      <c r="K5" s="3">
        <v>0.67</v>
      </c>
      <c r="L5">
        <v>0.51</v>
      </c>
      <c r="M5">
        <v>0.8</v>
      </c>
    </row>
    <row r="6" spans="1:13" x14ac:dyDescent="0.2">
      <c r="A6" s="3" t="s">
        <v>22</v>
      </c>
      <c r="B6" s="3" t="s">
        <v>24</v>
      </c>
      <c r="C6" s="3">
        <v>0.43</v>
      </c>
      <c r="D6">
        <v>0.27</v>
      </c>
      <c r="E6">
        <v>0.56999999999999995</v>
      </c>
      <c r="G6" s="3">
        <v>0.43</v>
      </c>
      <c r="H6" s="3">
        <v>0.27</v>
      </c>
      <c r="I6">
        <v>0.56999999999999995</v>
      </c>
      <c r="K6" s="3">
        <v>0.54</v>
      </c>
      <c r="L6">
        <v>0.38</v>
      </c>
      <c r="M6">
        <v>0.68</v>
      </c>
    </row>
    <row r="7" spans="1:13" x14ac:dyDescent="0.2">
      <c r="A7" s="3" t="s">
        <v>22</v>
      </c>
      <c r="B7" s="3" t="s">
        <v>25</v>
      </c>
      <c r="C7" s="3">
        <v>0.43</v>
      </c>
      <c r="D7">
        <v>0.26</v>
      </c>
      <c r="E7">
        <v>0.56000000000000005</v>
      </c>
      <c r="G7" s="3">
        <v>0.43</v>
      </c>
      <c r="H7" s="3">
        <v>0.26</v>
      </c>
      <c r="I7">
        <v>0.56000000000000005</v>
      </c>
      <c r="K7" s="3">
        <v>0.8</v>
      </c>
      <c r="L7">
        <v>0.67</v>
      </c>
      <c r="M7">
        <v>0.89</v>
      </c>
    </row>
    <row r="8" spans="1:13" x14ac:dyDescent="0.2">
      <c r="A8" s="3" t="s">
        <v>22</v>
      </c>
      <c r="B8" s="3" t="s">
        <v>26</v>
      </c>
      <c r="C8" s="3">
        <v>0.42</v>
      </c>
      <c r="D8">
        <v>0.25</v>
      </c>
      <c r="E8">
        <v>0.56000000000000005</v>
      </c>
      <c r="G8" s="3">
        <v>0.43</v>
      </c>
      <c r="H8" s="3">
        <v>0.26</v>
      </c>
      <c r="I8">
        <v>0.56999999999999995</v>
      </c>
      <c r="K8" s="3">
        <v>0.56999999999999995</v>
      </c>
      <c r="L8">
        <v>0.43</v>
      </c>
      <c r="M8">
        <v>0.7</v>
      </c>
    </row>
    <row r="9" spans="1:13" x14ac:dyDescent="0.2">
      <c r="A9" s="3" t="s">
        <v>14</v>
      </c>
      <c r="B9" s="3" t="s">
        <v>15</v>
      </c>
      <c r="C9" s="3">
        <v>0.69</v>
      </c>
      <c r="D9">
        <v>0.57999999999999996</v>
      </c>
      <c r="E9">
        <v>0.77</v>
      </c>
      <c r="G9" s="3">
        <v>0.69</v>
      </c>
      <c r="H9" s="3">
        <v>0.57999999999999996</v>
      </c>
      <c r="I9">
        <v>0.77</v>
      </c>
      <c r="K9" s="3">
        <v>0.88</v>
      </c>
      <c r="L9">
        <v>0.77</v>
      </c>
      <c r="M9">
        <v>0.96</v>
      </c>
    </row>
    <row r="10" spans="1:13" x14ac:dyDescent="0.2">
      <c r="A10" s="3" t="s">
        <v>14</v>
      </c>
      <c r="B10" s="3" t="s">
        <v>10</v>
      </c>
      <c r="C10" s="3">
        <v>0.47</v>
      </c>
      <c r="D10">
        <v>0.31</v>
      </c>
      <c r="E10">
        <v>0.6</v>
      </c>
      <c r="G10" s="3">
        <v>0.48</v>
      </c>
      <c r="H10" s="3">
        <v>0.32</v>
      </c>
      <c r="I10">
        <v>0.61</v>
      </c>
      <c r="K10" s="3">
        <v>0.77</v>
      </c>
      <c r="L10">
        <v>0.59</v>
      </c>
      <c r="M10">
        <v>0.9</v>
      </c>
    </row>
    <row r="11" spans="1:13" x14ac:dyDescent="0.2">
      <c r="A11" s="3" t="s">
        <v>14</v>
      </c>
      <c r="B11" s="3" t="s">
        <v>16</v>
      </c>
      <c r="C11" s="3">
        <v>0.68</v>
      </c>
      <c r="D11">
        <v>0.56999999999999995</v>
      </c>
      <c r="E11">
        <v>0.77</v>
      </c>
      <c r="G11" s="3">
        <v>0.69</v>
      </c>
      <c r="H11" s="3">
        <v>0.54</v>
      </c>
      <c r="I11">
        <v>0.79</v>
      </c>
      <c r="K11" s="3">
        <v>0.85</v>
      </c>
      <c r="L11">
        <v>0.78</v>
      </c>
      <c r="M11">
        <v>0.91</v>
      </c>
    </row>
    <row r="12" spans="1:13" x14ac:dyDescent="0.2">
      <c r="A12" s="3" t="s">
        <v>6</v>
      </c>
      <c r="B12" s="3" t="s">
        <v>7</v>
      </c>
      <c r="C12" s="3">
        <v>0.45</v>
      </c>
      <c r="D12">
        <v>0.28999999999999998</v>
      </c>
      <c r="E12">
        <v>0.57999999999999996</v>
      </c>
      <c r="G12" s="3">
        <v>0.48</v>
      </c>
      <c r="H12" s="3">
        <v>0.25</v>
      </c>
      <c r="I12">
        <v>0.64</v>
      </c>
      <c r="K12" s="3">
        <v>0.62</v>
      </c>
      <c r="L12">
        <v>0.51</v>
      </c>
      <c r="M12">
        <v>0.72</v>
      </c>
    </row>
    <row r="13" spans="1:13" x14ac:dyDescent="0.2">
      <c r="A13" s="3" t="s">
        <v>6</v>
      </c>
      <c r="B13" s="3" t="s">
        <v>8</v>
      </c>
      <c r="C13" s="3">
        <v>0.38</v>
      </c>
      <c r="D13">
        <v>0.21</v>
      </c>
      <c r="E13">
        <v>0.52</v>
      </c>
      <c r="G13" s="3">
        <v>0.44</v>
      </c>
      <c r="H13" s="3">
        <v>7.0000000000000007E-2</v>
      </c>
      <c r="I13">
        <v>0.67</v>
      </c>
      <c r="K13" s="3">
        <v>0.64</v>
      </c>
      <c r="L13">
        <v>0.53</v>
      </c>
      <c r="M13">
        <v>0.74</v>
      </c>
    </row>
    <row r="14" spans="1:13" x14ac:dyDescent="0.2">
      <c r="A14" s="3" t="s">
        <v>17</v>
      </c>
      <c r="B14" s="3" t="s">
        <v>18</v>
      </c>
      <c r="C14" s="3">
        <v>0.41</v>
      </c>
      <c r="D14">
        <v>0.25</v>
      </c>
      <c r="E14">
        <v>0.55000000000000004</v>
      </c>
      <c r="G14" s="3">
        <v>0.42</v>
      </c>
      <c r="H14" s="3">
        <v>0.25</v>
      </c>
      <c r="I14">
        <v>0.56000000000000005</v>
      </c>
      <c r="K14" s="3">
        <v>0.73</v>
      </c>
      <c r="L14">
        <v>0.55000000000000004</v>
      </c>
      <c r="M14">
        <v>0.88</v>
      </c>
    </row>
    <row r="15" spans="1:13" x14ac:dyDescent="0.2">
      <c r="A15" s="3" t="s">
        <v>17</v>
      </c>
      <c r="B15" s="3" t="s">
        <v>19</v>
      </c>
      <c r="C15" s="3">
        <v>0.64</v>
      </c>
      <c r="D15">
        <v>0.51</v>
      </c>
      <c r="E15">
        <v>0.73</v>
      </c>
      <c r="G15" s="3">
        <v>0.64</v>
      </c>
      <c r="H15" s="3">
        <v>0.51</v>
      </c>
      <c r="I15">
        <v>0.73</v>
      </c>
      <c r="K15" s="3">
        <v>0.95</v>
      </c>
      <c r="L15">
        <v>0.88</v>
      </c>
      <c r="M15">
        <v>1</v>
      </c>
    </row>
    <row r="16" spans="1:13" x14ac:dyDescent="0.2">
      <c r="A16" s="3" t="s">
        <v>17</v>
      </c>
      <c r="B16" s="3" t="s">
        <v>20</v>
      </c>
      <c r="C16" s="3">
        <v>0.54</v>
      </c>
      <c r="D16">
        <v>0.4</v>
      </c>
      <c r="E16">
        <v>0.66</v>
      </c>
      <c r="G16" s="3">
        <v>0.55000000000000004</v>
      </c>
      <c r="H16" s="3">
        <v>0.41</v>
      </c>
      <c r="I16">
        <v>0.66</v>
      </c>
      <c r="K16" s="3">
        <v>0.83</v>
      </c>
      <c r="L16">
        <v>0.73</v>
      </c>
      <c r="M16">
        <v>0.91</v>
      </c>
    </row>
    <row r="17" spans="1:13" x14ac:dyDescent="0.2">
      <c r="A17" s="3" t="s">
        <v>17</v>
      </c>
      <c r="B17" s="3" t="s">
        <v>21</v>
      </c>
      <c r="C17" s="3">
        <v>0.63</v>
      </c>
      <c r="D17">
        <v>0.5</v>
      </c>
      <c r="E17">
        <v>0.73</v>
      </c>
      <c r="G17" s="3">
        <v>0.63</v>
      </c>
      <c r="H17" s="3">
        <v>0.5</v>
      </c>
      <c r="I17">
        <v>0.73</v>
      </c>
      <c r="K17" s="3">
        <v>0.88</v>
      </c>
      <c r="L17">
        <v>0.8</v>
      </c>
      <c r="M17">
        <v>0.94</v>
      </c>
    </row>
    <row r="18" spans="1:13" x14ac:dyDescent="0.2">
      <c r="A18" s="3" t="s">
        <v>9</v>
      </c>
      <c r="B18" s="3" t="s">
        <v>10</v>
      </c>
      <c r="C18" s="3">
        <v>0</v>
      </c>
      <c r="D18">
        <v>-0.18</v>
      </c>
      <c r="E18">
        <v>0.18</v>
      </c>
      <c r="G18" s="3">
        <v>0</v>
      </c>
      <c r="H18" s="3">
        <v>-0.18</v>
      </c>
      <c r="I18">
        <v>0.18</v>
      </c>
      <c r="K18" s="3">
        <v>-0.02</v>
      </c>
      <c r="L18">
        <v>-0.91</v>
      </c>
      <c r="M18">
        <v>0.9</v>
      </c>
    </row>
    <row r="19" spans="1:13" x14ac:dyDescent="0.2">
      <c r="A19" s="3" t="s">
        <v>9</v>
      </c>
      <c r="B19" s="3" t="s">
        <v>11</v>
      </c>
      <c r="C19" s="3">
        <v>0.57999999999999996</v>
      </c>
      <c r="D19">
        <v>0.45</v>
      </c>
      <c r="E19">
        <v>0.69</v>
      </c>
      <c r="G19" s="3">
        <v>0.59</v>
      </c>
      <c r="H19" s="3">
        <v>0.43</v>
      </c>
      <c r="I19">
        <v>0.71</v>
      </c>
      <c r="K19" s="3">
        <v>0.9</v>
      </c>
      <c r="L19">
        <v>0.79</v>
      </c>
      <c r="M19">
        <v>0.97</v>
      </c>
    </row>
    <row r="20" spans="1:13" x14ac:dyDescent="0.2">
      <c r="A20" s="3" t="s">
        <v>9</v>
      </c>
      <c r="B20" s="3" t="s">
        <v>12</v>
      </c>
      <c r="C20" s="3">
        <v>0.09</v>
      </c>
      <c r="D20">
        <v>-0.1</v>
      </c>
      <c r="E20">
        <v>0.26</v>
      </c>
      <c r="G20" s="3">
        <v>0.11</v>
      </c>
      <c r="H20" s="3">
        <v>-7.0000000000000007E-2</v>
      </c>
      <c r="I20">
        <v>0.28000000000000003</v>
      </c>
      <c r="K20" s="3">
        <v>0.09</v>
      </c>
      <c r="L20">
        <v>-7.0000000000000007E-2</v>
      </c>
      <c r="M20">
        <v>0.26</v>
      </c>
    </row>
    <row r="21" spans="1:13" x14ac:dyDescent="0.2">
      <c r="A21" s="3" t="s">
        <v>9</v>
      </c>
      <c r="B21" s="3" t="s">
        <v>13</v>
      </c>
      <c r="C21" s="3">
        <v>0.04</v>
      </c>
      <c r="D21">
        <v>-0.14000000000000001</v>
      </c>
      <c r="E21">
        <v>0.22</v>
      </c>
      <c r="G21" s="3">
        <v>0.05</v>
      </c>
      <c r="H21" s="3">
        <v>-0.13</v>
      </c>
      <c r="I21">
        <v>0.23</v>
      </c>
      <c r="K21" s="3">
        <v>7.0000000000000007E-2</v>
      </c>
      <c r="L21">
        <v>-0.86</v>
      </c>
      <c r="M21">
        <v>0.91</v>
      </c>
    </row>
    <row r="23" spans="1:13" x14ac:dyDescent="0.2">
      <c r="C23">
        <f>AVERAGE(C4:C21)</f>
        <v>0.42611111111111105</v>
      </c>
      <c r="G23">
        <f t="shared" ref="G23" si="0">AVERAGE(G4:G21)</f>
        <v>0.43611111111111112</v>
      </c>
      <c r="K23">
        <f t="shared" ref="K23" si="1">AVERAGE(K4:K21)</f>
        <v>0.63500000000000012</v>
      </c>
    </row>
    <row r="24" spans="1:13" x14ac:dyDescent="0.2">
      <c r="C24">
        <f>STDEV(C4:C21)</f>
        <v>0.20451201284690557</v>
      </c>
      <c r="G24">
        <f t="shared" ref="G24" si="2">STDEV(G4:G21)</f>
        <v>0.20298185629983823</v>
      </c>
      <c r="K24">
        <f t="shared" ref="K24" si="3">STDEV(K4:K21)</f>
        <v>0.29593818909479358</v>
      </c>
    </row>
    <row r="26" spans="1:13" x14ac:dyDescent="0.2">
      <c r="B26" t="s">
        <v>30</v>
      </c>
      <c r="C26">
        <f>COUNTIFS( C4:C21, "&lt;=0.4")</f>
        <v>5</v>
      </c>
      <c r="G26">
        <f t="shared" ref="D26:K26" si="4">COUNTIFS( G4:G21, "&lt;=0.4")</f>
        <v>4</v>
      </c>
      <c r="K26">
        <f t="shared" si="4"/>
        <v>3</v>
      </c>
    </row>
    <row r="27" spans="1:13" x14ac:dyDescent="0.2">
      <c r="B27" t="s">
        <v>31</v>
      </c>
      <c r="C27">
        <f>COUNTIFS(C4:C21, "&gt;=0.4", C4:C21, "&lt;=0.6")</f>
        <v>9</v>
      </c>
      <c r="G27">
        <f t="shared" ref="D27:K27" si="5">COUNTIFS(G4:G21, "&gt;=0.4", G4:G21, "&lt;=0.6")</f>
        <v>10</v>
      </c>
      <c r="K27">
        <f t="shared" si="5"/>
        <v>2</v>
      </c>
    </row>
    <row r="28" spans="1:13" x14ac:dyDescent="0.2">
      <c r="B28" t="s">
        <v>32</v>
      </c>
      <c r="C28">
        <f>COUNTIFS(C4:C21, "&gt;=0.6", C4:C21, "&lt;=0.75")</f>
        <v>4</v>
      </c>
      <c r="G28">
        <f t="shared" ref="D28:K28" si="6">COUNTIFS(G4:G21, "&gt;=0.6", G4:G21, "&lt;=0.75")</f>
        <v>4</v>
      </c>
      <c r="K28">
        <f t="shared" si="6"/>
        <v>5</v>
      </c>
    </row>
    <row r="29" spans="1:13" x14ac:dyDescent="0.2">
      <c r="B29" t="s">
        <v>33</v>
      </c>
      <c r="C29">
        <f>COUNTIFS(C4:C21, "&gt;=0.75", C4:C21, "&lt;=1")</f>
        <v>0</v>
      </c>
      <c r="G29">
        <f t="shared" ref="D29:K29" si="7">COUNTIFS(G4:G21, "&gt;=0.75", G4:G21, "&lt;=1")</f>
        <v>0</v>
      </c>
      <c r="K29">
        <f t="shared" si="7"/>
        <v>8</v>
      </c>
    </row>
  </sheetData>
  <sortState xmlns:xlrd2="http://schemas.microsoft.com/office/spreadsheetml/2017/richdata2" ref="A4:E21">
    <sortCondition ref="A4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Pike</dc:creator>
  <cp:lastModifiedBy>Alex Pike</cp:lastModifiedBy>
  <dcterms:created xsi:type="dcterms:W3CDTF">2025-04-17T12:07:26Z</dcterms:created>
  <dcterms:modified xsi:type="dcterms:W3CDTF">2025-06-06T11:03:40Z</dcterms:modified>
</cp:coreProperties>
</file>